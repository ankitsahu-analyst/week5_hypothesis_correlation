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 activeTab="1"/>
  </bookViews>
  <sheets>
    <sheet name="Two Sample t-test" sheetId="1" r:id="rId1"/>
    <sheet name="Correlation Analysis" sheetId="2" r:id="rId2"/>
    <sheet name="Case Study" sheetId="3" r:id="rId3"/>
  </sheets>
  <calcPr calcId="124519"/>
</workbook>
</file>

<file path=xl/calcChain.xml><?xml version="1.0" encoding="utf-8"?>
<calcChain xmlns="http://schemas.openxmlformats.org/spreadsheetml/2006/main">
  <c r="D2" i="2"/>
  <c r="C2"/>
  <c r="D2" i="1"/>
  <c r="C2"/>
</calcChain>
</file>

<file path=xl/sharedStrings.xml><?xml version="1.0" encoding="utf-8"?>
<sst xmlns="http://schemas.openxmlformats.org/spreadsheetml/2006/main" count="11" uniqueCount="11">
  <si>
    <t>Priya ki Sales</t>
  </si>
  <si>
    <t>Mean: ₹94,666.667</t>
  </si>
  <si>
    <t>Rahul ki Sales</t>
  </si>
  <si>
    <t>Mean: ₹57,333.333</t>
  </si>
  <si>
    <t>p value</t>
  </si>
  <si>
    <t>"p &lt; 0.05? H₀ reject or accept?"</t>
  </si>
  <si>
    <t>Ad Spend</t>
  </si>
  <si>
    <t>Sales</t>
  </si>
  <si>
    <t>R value</t>
  </si>
  <si>
    <t>covariance</t>
  </si>
  <si>
    <t>Conclusion: "r = ? → which  relationship?"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</si>
</sst>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Segoe UI"/>
      <family val="2"/>
    </font>
    <font>
      <sz val="8"/>
      <color rgb="FF7AB948"/>
      <name val="Courier New"/>
      <family val="3"/>
    </font>
    <font>
      <sz val="9"/>
      <color rgb="FF7AB948"/>
      <name val="Segoe UI"/>
      <family val="2"/>
    </font>
    <font>
      <sz val="9"/>
      <color rgb="FF80AADD"/>
      <name val="Segoe UI"/>
      <family val="2"/>
    </font>
    <font>
      <b/>
      <sz val="9"/>
      <color rgb="FF7AB948"/>
      <name val="Segoe UI"/>
      <family val="2"/>
    </font>
    <font>
      <b/>
      <sz val="9"/>
      <color rgb="FF80AADD"/>
      <name val="Segoe UI"/>
      <family val="2"/>
    </font>
    <font>
      <sz val="8"/>
      <color theme="1"/>
      <name val="Courier New"/>
      <family val="3"/>
    </font>
    <font>
      <b/>
      <sz val="8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0">
    <xf numFmtId="0" fontId="0" fillId="0" borderId="0" xfId="0"/>
    <xf numFmtId="0" fontId="5" fillId="0" borderId="0" xfId="0" applyFont="1"/>
    <xf numFmtId="0" fontId="6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0" fillId="0" borderId="0" xfId="0" applyAlignment="1">
      <alignment horizontal="center"/>
    </xf>
    <xf numFmtId="2" fontId="2" fillId="0" borderId="0" xfId="0" applyNumberFormat="1" applyFont="1"/>
    <xf numFmtId="0" fontId="4" fillId="0" borderId="0" xfId="0" applyFont="1"/>
    <xf numFmtId="0" fontId="0" fillId="0" borderId="0" xfId="0" applyFont="1" applyAlignment="1">
      <alignment horizontal="center"/>
    </xf>
    <xf numFmtId="0" fontId="4" fillId="0" borderId="0" xfId="0" applyFont="1" applyAlignment="1">
      <alignment horizontal="left" wrapText="1" indent="1"/>
    </xf>
    <xf numFmtId="3" fontId="4" fillId="0" borderId="0" xfId="0" applyNumberFormat="1" applyFont="1" applyAlignment="1">
      <alignment horizontal="left" wrapText="1" indent="1"/>
    </xf>
    <xf numFmtId="0" fontId="8" fillId="0" borderId="0" xfId="0" applyFont="1" applyAlignment="1">
      <alignment horizontal="left" wrapText="1" indent="1"/>
    </xf>
    <xf numFmtId="0" fontId="9" fillId="0" borderId="0" xfId="0" applyFont="1" applyAlignment="1">
      <alignment horizontal="left" wrapText="1" indent="1"/>
    </xf>
    <xf numFmtId="0" fontId="11" fillId="0" borderId="0" xfId="0" applyFont="1" applyAlignment="1">
      <alignment horizontal="center"/>
    </xf>
    <xf numFmtId="0" fontId="3" fillId="2" borderId="0" xfId="1" applyAlignment="1">
      <alignment horizontal="center"/>
    </xf>
    <xf numFmtId="0" fontId="10" fillId="0" borderId="0" xfId="0" applyFont="1" applyAlignment="1">
      <alignment horizontal="center"/>
    </xf>
    <xf numFmtId="0" fontId="3" fillId="4" borderId="0" xfId="3"/>
    <xf numFmtId="0" fontId="3" fillId="5" borderId="0" xfId="4" applyAlignment="1">
      <alignment horizontal="center"/>
    </xf>
    <xf numFmtId="0" fontId="1" fillId="3" borderId="0" xfId="2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</cellXfs>
  <cellStyles count="5">
    <cellStyle name="Accent1" xfId="1" builtinId="29"/>
    <cellStyle name="Accent3" xfId="2" builtinId="37"/>
    <cellStyle name="Accent4" xfId="3" builtinId="41"/>
    <cellStyle name="Accent5" xfId="4" builtinId="45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'Correlation Analysis'!$B$1</c:f>
              <c:strCache>
                <c:ptCount val="1"/>
                <c:pt idx="0">
                  <c:v>Sales</c:v>
                </c:pt>
              </c:strCache>
            </c:strRef>
          </c:tx>
          <c:xVal>
            <c:numRef>
              <c:f>'Correlation Analysis'!$A$2:$A$11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</c:numCache>
            </c:numRef>
          </c:xVal>
          <c:yVal>
            <c:numRef>
              <c:f>'Correlation Analysis'!$B$2:$B$11</c:f>
              <c:numCache>
                <c:formatCode>General</c:formatCode>
                <c:ptCount val="10"/>
                <c:pt idx="0">
                  <c:v>45</c:v>
                </c:pt>
                <c:pt idx="1">
                  <c:v>52</c:v>
                </c:pt>
                <c:pt idx="2">
                  <c:v>61</c:v>
                </c:pt>
                <c:pt idx="3">
                  <c:v>68</c:v>
                </c:pt>
                <c:pt idx="4">
                  <c:v>74</c:v>
                </c:pt>
                <c:pt idx="5">
                  <c:v>82</c:v>
                </c:pt>
                <c:pt idx="6">
                  <c:v>89</c:v>
                </c:pt>
                <c:pt idx="7">
                  <c:v>95</c:v>
                </c:pt>
                <c:pt idx="8">
                  <c:v>103</c:v>
                </c:pt>
                <c:pt idx="9">
                  <c:v>110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'Correlation Analysis'!$C$1</c:f>
              <c:strCache>
                <c:ptCount val="1"/>
                <c:pt idx="0">
                  <c:v>R value</c:v>
                </c:pt>
              </c:strCache>
            </c:strRef>
          </c:tx>
          <c:xVal>
            <c:numRef>
              <c:f>'Correlation Analysis'!$A$2:$A$11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</c:numCache>
            </c:numRef>
          </c:xVal>
          <c:yVal>
            <c:numRef>
              <c:f>'Correlation Analysis'!$C$2:$C$11</c:f>
              <c:numCache>
                <c:formatCode>General</c:formatCode>
                <c:ptCount val="10"/>
                <c:pt idx="0">
                  <c:v>0.99952587850828523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'Correlation Analysis'!$D$1</c:f>
              <c:strCache>
                <c:ptCount val="1"/>
                <c:pt idx="0">
                  <c:v>covariance</c:v>
                </c:pt>
              </c:strCache>
            </c:strRef>
          </c:tx>
          <c:xVal>
            <c:numRef>
              <c:f>'Correlation Analysis'!$A$2:$A$11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</c:numCache>
            </c:numRef>
          </c:xVal>
          <c:yVal>
            <c:numRef>
              <c:f>'Correlation Analysis'!$D$2:$D$11</c:f>
              <c:numCache>
                <c:formatCode>General</c:formatCode>
                <c:ptCount val="10"/>
                <c:pt idx="0">
                  <c:v>295.75</c:v>
                </c:pt>
              </c:numCache>
            </c:numRef>
          </c:yVal>
          <c:smooth val="1"/>
        </c:ser>
        <c:axId val="109251968"/>
        <c:axId val="109249280"/>
      </c:scatterChart>
      <c:valAx>
        <c:axId val="109251968"/>
        <c:scaling>
          <c:orientation val="minMax"/>
        </c:scaling>
        <c:axPos val="b"/>
        <c:numFmt formatCode="General" sourceLinked="1"/>
        <c:tickLblPos val="nextTo"/>
        <c:crossAx val="109249280"/>
        <c:crosses val="autoZero"/>
        <c:crossBetween val="midCat"/>
      </c:valAx>
      <c:valAx>
        <c:axId val="109249280"/>
        <c:scaling>
          <c:orientation val="minMax"/>
        </c:scaling>
        <c:axPos val="l"/>
        <c:majorGridlines/>
        <c:numFmt formatCode="General" sourceLinked="1"/>
        <c:tickLblPos val="nextTo"/>
        <c:crossAx val="10925196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15</xdr:row>
      <xdr:rowOff>0</xdr:rowOff>
    </xdr:from>
    <xdr:to>
      <xdr:col>4</xdr:col>
      <xdr:colOff>295275</xdr:colOff>
      <xdr:row>29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C2" sqref="C2"/>
    </sheetView>
  </sheetViews>
  <sheetFormatPr defaultRowHeight="15"/>
  <cols>
    <col min="1" max="1" width="15.42578125" customWidth="1"/>
    <col min="2" max="2" width="13.42578125" customWidth="1"/>
    <col min="3" max="3" width="12.28515625" customWidth="1"/>
    <col min="4" max="4" width="26.5703125" customWidth="1"/>
  </cols>
  <sheetData>
    <row r="1" spans="1:4">
      <c r="A1" s="10" t="s">
        <v>0</v>
      </c>
      <c r="B1" s="11" t="s">
        <v>2</v>
      </c>
      <c r="C1" s="5" t="s">
        <v>4</v>
      </c>
      <c r="D1" s="6" t="s">
        <v>5</v>
      </c>
    </row>
    <row r="2" spans="1:4">
      <c r="A2" s="8">
        <v>120000</v>
      </c>
      <c r="B2" s="9">
        <v>85000</v>
      </c>
      <c r="C2">
        <f>TTEST(A2:A4,B2:B4,2,2)</f>
        <v>0.14363491874420622</v>
      </c>
      <c r="D2" s="7" t="str">
        <f>IF(C2&gt;0.05,"H0 Accept","H0 Reject")</f>
        <v>H0 Accept</v>
      </c>
    </row>
    <row r="3" spans="1:4">
      <c r="A3" s="9">
        <v>91000</v>
      </c>
      <c r="B3" s="9">
        <v>32000</v>
      </c>
    </row>
    <row r="4" spans="1:4">
      <c r="A4" s="9">
        <v>73000</v>
      </c>
      <c r="B4" s="9">
        <v>55000</v>
      </c>
    </row>
    <row r="5" spans="1:4" ht="36.75">
      <c r="A5" s="2" t="s">
        <v>1</v>
      </c>
      <c r="B5" s="3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selection activeCell="F17" sqref="F17"/>
    </sheetView>
  </sheetViews>
  <sheetFormatPr defaultRowHeight="15"/>
  <cols>
    <col min="1" max="1" width="14.7109375" customWidth="1"/>
    <col min="2" max="2" width="14.42578125" customWidth="1"/>
    <col min="3" max="3" width="21.5703125" customWidth="1"/>
    <col min="4" max="4" width="17.42578125" customWidth="1"/>
  </cols>
  <sheetData>
    <row r="1" spans="1:4">
      <c r="A1" s="13" t="s">
        <v>6</v>
      </c>
      <c r="B1" s="15" t="s">
        <v>7</v>
      </c>
      <c r="C1" s="16" t="s">
        <v>8</v>
      </c>
      <c r="D1" s="17" t="s">
        <v>9</v>
      </c>
    </row>
    <row r="2" spans="1:4">
      <c r="A2" s="14">
        <v>10</v>
      </c>
      <c r="B2" s="14">
        <v>45</v>
      </c>
      <c r="C2" s="12">
        <f>CORREL(A2:A11, B2:B11)</f>
        <v>0.99952587850828523</v>
      </c>
      <c r="D2" s="1">
        <f>COVAR(A2:A11, B2:B11)</f>
        <v>295.75</v>
      </c>
    </row>
    <row r="3" spans="1:4">
      <c r="A3" s="4">
        <v>15</v>
      </c>
      <c r="B3" s="4">
        <v>52</v>
      </c>
    </row>
    <row r="4" spans="1:4">
      <c r="A4" s="4">
        <v>20</v>
      </c>
      <c r="B4" s="4">
        <v>61</v>
      </c>
    </row>
    <row r="5" spans="1:4">
      <c r="A5" s="4">
        <v>25</v>
      </c>
      <c r="B5" s="4">
        <v>68</v>
      </c>
    </row>
    <row r="6" spans="1:4">
      <c r="A6" s="4">
        <v>30</v>
      </c>
      <c r="B6" s="4">
        <v>74</v>
      </c>
    </row>
    <row r="7" spans="1:4">
      <c r="A7" s="4">
        <v>35</v>
      </c>
      <c r="B7" s="4">
        <v>82</v>
      </c>
    </row>
    <row r="8" spans="1:4">
      <c r="A8" s="4">
        <v>40</v>
      </c>
      <c r="B8" s="4">
        <v>89</v>
      </c>
    </row>
    <row r="9" spans="1:4">
      <c r="A9" s="4">
        <v>45</v>
      </c>
      <c r="B9" s="4">
        <v>95</v>
      </c>
    </row>
    <row r="10" spans="1:4">
      <c r="A10" s="4">
        <v>50</v>
      </c>
      <c r="B10" s="4">
        <v>103</v>
      </c>
    </row>
    <row r="11" spans="1:4">
      <c r="A11" s="4">
        <v>55</v>
      </c>
      <c r="B11" s="4">
        <v>110</v>
      </c>
    </row>
    <row r="13" spans="1:4">
      <c r="A13" s="19" t="s">
        <v>10</v>
      </c>
      <c r="B13" s="19"/>
      <c r="C13" s="19"/>
    </row>
    <row r="14" spans="1:4">
      <c r="A14" s="18"/>
      <c r="B14" s="18"/>
    </row>
  </sheetData>
  <mergeCells count="1">
    <mergeCell ref="A13:C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M7"/>
  <sheetViews>
    <sheetView workbookViewId="0">
      <selection activeCell="L7" sqref="L7"/>
    </sheetView>
  </sheetViews>
  <sheetFormatPr defaultRowHeight="15"/>
  <sheetData>
    <row r="2" spans="1:1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Two Sample t-test</vt:lpstr>
      <vt:lpstr>Correlation Analysis</vt:lpstr>
      <vt:lpstr>Case Study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2026-04-18T13:57:19Z</dcterms:created>
  <dcterms:modified xsi:type="dcterms:W3CDTF">2026-04-18T14:42:40Z</dcterms:modified>
</cp:coreProperties>
</file>